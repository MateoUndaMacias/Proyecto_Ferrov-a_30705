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d.docs.live.net/8c220208a7212e1c/Documentos/"/>
    </mc:Choice>
  </mc:AlternateContent>
  <xr:revisionPtr revIDLastSave="0" documentId="8_{ADD8938A-E6F9-40E4-AE8B-9127C117C262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Backlog" sheetId="1" r:id="rId1"/>
    <sheet name="sprint0" sheetId="2" r:id="rId2"/>
    <sheet name="burdonchart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umbVZyOcx52yre52oR6StKY4AhwVaEfQZSgxcWGFbfY="/>
    </ext>
  </extLst>
</workbook>
</file>

<file path=xl/calcChain.xml><?xml version="1.0" encoding="utf-8"?>
<calcChain xmlns="http://schemas.openxmlformats.org/spreadsheetml/2006/main">
  <c r="H34" i="2" l="1"/>
  <c r="G34" i="2"/>
  <c r="F34" i="2"/>
  <c r="E34" i="2"/>
  <c r="D34" i="2"/>
  <c r="C34" i="2"/>
  <c r="B34" i="2"/>
  <c r="H28" i="2"/>
  <c r="G28" i="2"/>
  <c r="F28" i="2"/>
  <c r="E28" i="2"/>
  <c r="D28" i="2"/>
  <c r="C28" i="2"/>
  <c r="B28" i="2"/>
  <c r="E4" i="2"/>
  <c r="F4" i="2"/>
  <c r="G4" i="2"/>
  <c r="D2" i="2"/>
  <c r="E2" i="2"/>
  <c r="F2" i="2"/>
  <c r="G2" i="2"/>
  <c r="H2" i="2"/>
  <c r="I2" i="2"/>
  <c r="C2" i="2"/>
  <c r="B2" i="2"/>
  <c r="B4" i="2"/>
  <c r="D22" i="2"/>
  <c r="E22" i="2"/>
  <c r="F22" i="2"/>
  <c r="G22" i="2"/>
  <c r="H22" i="2"/>
  <c r="I22" i="2"/>
  <c r="C22" i="2"/>
  <c r="B22" i="2"/>
  <c r="D16" i="2"/>
  <c r="E16" i="2"/>
  <c r="F16" i="2"/>
  <c r="G16" i="2"/>
  <c r="H16" i="2"/>
  <c r="C16" i="2"/>
  <c r="B16" i="2"/>
  <c r="D12" i="2"/>
  <c r="E12" i="2"/>
  <c r="F12" i="2"/>
  <c r="G12" i="2"/>
  <c r="H12" i="2"/>
  <c r="I12" i="2"/>
  <c r="C12" i="2"/>
  <c r="B12" i="2"/>
  <c r="H4" i="2"/>
  <c r="D4" i="2"/>
  <c r="C4" i="2"/>
  <c r="I4" i="3"/>
  <c r="C26" i="3"/>
  <c r="D26" i="3" s="1"/>
  <c r="E26" i="3" s="1"/>
  <c r="F26" i="3" s="1"/>
  <c r="G26" i="3" s="1"/>
  <c r="H26" i="3" s="1"/>
  <c r="C25" i="3"/>
  <c r="D25" i="3" s="1"/>
  <c r="E25" i="3" s="1"/>
  <c r="F25" i="3" s="1"/>
  <c r="G25" i="3" s="1"/>
  <c r="H25" i="3" s="1"/>
  <c r="I15" i="3"/>
  <c r="I16" i="3"/>
  <c r="I17" i="3"/>
  <c r="I18" i="3"/>
  <c r="I14" i="3" l="1"/>
  <c r="I13" i="3"/>
  <c r="I5" i="3"/>
  <c r="I6" i="3"/>
  <c r="I7" i="3"/>
  <c r="I8" i="3"/>
  <c r="I9" i="3"/>
  <c r="I10" i="3"/>
  <c r="I11" i="3"/>
  <c r="I12" i="3"/>
</calcChain>
</file>

<file path=xl/sharedStrings.xml><?xml version="1.0" encoding="utf-8"?>
<sst xmlns="http://schemas.openxmlformats.org/spreadsheetml/2006/main" count="144" uniqueCount="93">
  <si>
    <t>REQUISITO</t>
  </si>
  <si>
    <t>TEMA</t>
  </si>
  <si>
    <t>COMO UN…</t>
  </si>
  <si>
    <t>NECESITO</t>
  </si>
  <si>
    <t>ASÍ PODRÉ…</t>
  </si>
  <si>
    <t>NOTAS</t>
  </si>
  <si>
    <t>PRIORIDAD</t>
  </si>
  <si>
    <t>ESTATUS</t>
  </si>
  <si>
    <t>REQ001</t>
  </si>
  <si>
    <t>Autenticación de usuario</t>
  </si>
  <si>
    <t>Administrador y Cliente</t>
  </si>
  <si>
    <t>El programa debe tener una función para registrar y guardar datos de los clientes y administradores.</t>
  </si>
  <si>
    <t>Autenticar los datos del administrador/cliente  para iniciar sesión o registrar.</t>
  </si>
  <si>
    <t>NA</t>
  </si>
  <si>
    <t>Alta</t>
  </si>
  <si>
    <t>Terminado</t>
  </si>
  <si>
    <t>REQ002</t>
  </si>
  <si>
    <t>Administración de usuarios</t>
  </si>
  <si>
    <t>Administrador</t>
  </si>
  <si>
    <t>El programa debe permitir al administrador eliminar y editar datos de clientes.</t>
  </si>
  <si>
    <t>Organizar los datos de los clientes o eliminarlos en caso de inactividad.</t>
  </si>
  <si>
    <t>Media</t>
  </si>
  <si>
    <t>En proceso</t>
  </si>
  <si>
    <t>REQ003</t>
  </si>
  <si>
    <t>Gestionar trenes</t>
  </si>
  <si>
    <t>Adminstrador</t>
  </si>
  <si>
    <t>El programa debe permitir al administrador crear, modificar o eliminar rutas planificadas de los trenes.</t>
  </si>
  <si>
    <t>Administrar los próximos movimientos de los trenes y cambiarlo en caso de eventualidades.</t>
  </si>
  <si>
    <t>REQ004</t>
  </si>
  <si>
    <t>Gestionar horarios</t>
  </si>
  <si>
    <t>El programa debe permitir que el administrador organice los horarios de los trenes.</t>
  </si>
  <si>
    <t>Organizar los horarios de los trenes, permitiendo editar o eliminar un viaje en caso de retrasos o problemas de los trenes</t>
  </si>
  <si>
    <t>REQ005</t>
  </si>
  <si>
    <t>Gestionar reservas</t>
  </si>
  <si>
    <t>Cliente</t>
  </si>
  <si>
    <t>El programa debe permitir que el cliente pueda hacer reservas de boletos, consultar su estado y cancelarlo de ser necesrio.</t>
  </si>
  <si>
    <t>Ver los horarios de trenes mas convenientes, consultar su estado y cancelarlo con su respectiva anticipación.</t>
  </si>
  <si>
    <t>REQ006</t>
  </si>
  <si>
    <t>Gestionar reportes</t>
  </si>
  <si>
    <t>El programa debe permitir que el administrador pueda generar los reportes del sistemade forma general o por reportes filtrados.</t>
  </si>
  <si>
    <t xml:space="preserve">Ver los reportes del sistema, para una mejor información del movimiento de los trenes. </t>
  </si>
  <si>
    <t>Finalizado</t>
  </si>
  <si>
    <t>Tareas</t>
  </si>
  <si>
    <t>Asignado</t>
  </si>
  <si>
    <t>Estimado</t>
  </si>
  <si>
    <t>REQ001-1</t>
  </si>
  <si>
    <t>Enlazar el código con mongoDB.</t>
  </si>
  <si>
    <t>Daniela Narváez</t>
  </si>
  <si>
    <t>REQ001-2</t>
  </si>
  <si>
    <t>Crear el registro de usuario.</t>
  </si>
  <si>
    <t>REQ001-3</t>
  </si>
  <si>
    <t>Validar datos</t>
  </si>
  <si>
    <t>REQ001-4</t>
  </si>
  <si>
    <t>Elaborar una interfaz gráfica para el registro e inicio de sesión con datos ya validados.</t>
  </si>
  <si>
    <t>REQ001-5</t>
  </si>
  <si>
    <t>Crear el controlador para validar los datos de la interfaz</t>
  </si>
  <si>
    <t>REQ002-1</t>
  </si>
  <si>
    <t>Un CRUD para el rol administrador</t>
  </si>
  <si>
    <t>Pendiente</t>
  </si>
  <si>
    <t>REQ003-1</t>
  </si>
  <si>
    <t>Crear un registro de trenes</t>
  </si>
  <si>
    <t>Mateo Unda</t>
  </si>
  <si>
    <t>REQ003-2</t>
  </si>
  <si>
    <t>Elaborar una interzar gráfica que cree, modifique y elimine rutas y trenes</t>
  </si>
  <si>
    <t>REQ003-3</t>
  </si>
  <si>
    <t>Desarrollar un controlador para la interfaz gráfica</t>
  </si>
  <si>
    <t>REQ004-1</t>
  </si>
  <si>
    <t>Implementar servivio de calendarización</t>
  </si>
  <si>
    <t>Anthony Vilaña</t>
  </si>
  <si>
    <t>REQ004-2</t>
  </si>
  <si>
    <t>Elaborar una interzar gráfica que cree, modifique y elimine horarios</t>
  </si>
  <si>
    <t>REQ004-3</t>
  </si>
  <si>
    <t>REQ005-1</t>
  </si>
  <si>
    <t>Implementar el servicio de gestión de reservas de clientes</t>
  </si>
  <si>
    <t>REQ005-2</t>
  </si>
  <si>
    <t>Elaborar una interfaz gráfica que enseñe al cliente el estado de su reserva</t>
  </si>
  <si>
    <t>REQ005-3</t>
  </si>
  <si>
    <t>REQ006-1</t>
  </si>
  <si>
    <t>Imprimir los trenes, horarios y reservas</t>
  </si>
  <si>
    <t>José Yánez</t>
  </si>
  <si>
    <t>REQ006-2</t>
  </si>
  <si>
    <t>Crear una interfaz gráfica para los reportes</t>
  </si>
  <si>
    <t>REQ006-3</t>
  </si>
  <si>
    <t>Dia 5</t>
  </si>
  <si>
    <t>Dia 4</t>
  </si>
  <si>
    <t>Dia 3</t>
  </si>
  <si>
    <t>Dia 2</t>
  </si>
  <si>
    <t>Dia 1</t>
  </si>
  <si>
    <t>Total de Horas</t>
  </si>
  <si>
    <t>REQ002-2</t>
  </si>
  <si>
    <t>REQ002-3</t>
  </si>
  <si>
    <t>Horas Estimadas</t>
  </si>
  <si>
    <t>Horas Estimadas
Restantes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</si>
</sst>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rgb="FF0000FF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0"/>
      <name val="Arial"/>
      <family val="2"/>
    </font>
    <font>
      <sz val="10"/>
      <color theme="1"/>
      <name val="Arial"/>
      <family val="2"/>
      <scheme val="major"/>
    </font>
  </fonts>
  <fills count="8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  <fill>
      <patternFill patternType="solid">
        <fgColor rgb="FF6AA84F"/>
        <bgColor rgb="FF6AA84F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3" fillId="3" borderId="1" xfId="0" applyFont="1" applyFill="1" applyBorder="1" applyAlignment="1">
      <alignment horizontal="right"/>
    </xf>
    <xf numFmtId="0" fontId="3" fillId="4" borderId="1" xfId="0" applyFont="1" applyFill="1" applyBorder="1" applyAlignment="1">
      <alignment horizontal="right"/>
    </xf>
    <xf numFmtId="0" fontId="3" fillId="5" borderId="1" xfId="0" applyFont="1" applyFill="1" applyBorder="1"/>
    <xf numFmtId="0" fontId="3" fillId="0" borderId="1" xfId="0" applyFont="1" applyBorder="1" applyAlignment="1">
      <alignment horizontal="right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00FF00"/>
          <bgColor rgb="FF00FF00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burdonchart-style" pivot="0" count="3" xr9:uid="{00000000-0011-0000-FFFF-FFFF0000000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054470691163605"/>
          <c:y val="5.7502246181491468E-2"/>
          <c:w val="0.869455293088364"/>
          <c:h val="0.78993880481920897"/>
        </c:manualLayout>
      </c:layout>
      <c:lineChart>
        <c:grouping val="standard"/>
        <c:varyColors val="1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burdonchart!$B$25:$H$25</c:f>
              <c:numCache>
                <c:formatCode>General</c:formatCode>
                <c:ptCount val="7"/>
                <c:pt idx="0">
                  <c:v>0</c:v>
                </c:pt>
                <c:pt idx="1">
                  <c:v>34</c:v>
                </c:pt>
                <c:pt idx="2">
                  <c:v>26</c:v>
                </c:pt>
                <c:pt idx="3">
                  <c:v>15</c:v>
                </c:pt>
                <c:pt idx="4">
                  <c:v>9</c:v>
                </c:pt>
                <c:pt idx="5">
                  <c:v>5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20-4713-AF48-1EB56E18A949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burdonchart!$B$26:$H$26</c:f>
              <c:numCache>
                <c:formatCode>General</c:formatCode>
                <c:ptCount val="7"/>
                <c:pt idx="0">
                  <c:v>0</c:v>
                </c:pt>
                <c:pt idx="1">
                  <c:v>34</c:v>
                </c:pt>
                <c:pt idx="2">
                  <c:v>27.2</c:v>
                </c:pt>
                <c:pt idx="3">
                  <c:v>20.399999999999999</c:v>
                </c:pt>
                <c:pt idx="4">
                  <c:v>13.599999999999998</c:v>
                </c:pt>
                <c:pt idx="5">
                  <c:v>6.799999999999998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20-4713-AF48-1EB56E18A9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6555524"/>
        <c:axId val="2087969067"/>
      </c:lineChart>
      <c:catAx>
        <c:axId val="4165555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087969067"/>
        <c:crosses val="autoZero"/>
        <c:auto val="1"/>
        <c:lblAlgn val="ctr"/>
        <c:lblOffset val="100"/>
        <c:noMultiLvlLbl val="1"/>
      </c:catAx>
      <c:valAx>
        <c:axId val="20879690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4165555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161925</xdr:colOff>
      <xdr:row>23</xdr:row>
      <xdr:rowOff>142875</xdr:rowOff>
    </xdr:from>
    <xdr:ext cx="5715000" cy="3533775"/>
    <xdr:graphicFrame macro="">
      <xdr:nvGraphicFramePr>
        <xdr:cNvPr id="362873004" name="Chart 1" title="Gráfico">
          <a:extLst>
            <a:ext uri="{FF2B5EF4-FFF2-40B4-BE49-F238E27FC236}">
              <a16:creationId xmlns:a16="http://schemas.microsoft.com/office/drawing/2014/main" id="{00000000-0008-0000-0200-0000AC00A1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I4:I14" headerRowCount="0" totalsRowCount="1">
  <tableColumns count="1">
    <tableColumn id="1" xr3:uid="{00000000-0010-0000-0000-000001000000}" name="Column1" totalsRowFunction="custom" totalsRowDxfId="0">
      <calculatedColumnFormula>SUM(D4:H4)</calculatedColumnFormula>
      <totalsRowFormula>SUM(D14:H14)</totalsRowFormula>
    </tableColumn>
  </tableColumns>
  <tableStyleInfo name="burdonchart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7"/>
  <sheetViews>
    <sheetView zoomScale="71" zoomScaleNormal="71" workbookViewId="0">
      <selection activeCell="E8" sqref="E8"/>
    </sheetView>
  </sheetViews>
  <sheetFormatPr defaultColWidth="40.5703125" defaultRowHeight="57" customHeight="1"/>
  <cols>
    <col min="1" max="1" width="18.7109375" style="9" customWidth="1"/>
    <col min="2" max="2" width="33.85546875" style="9" customWidth="1"/>
    <col min="3" max="3" width="28.140625" style="9" customWidth="1"/>
    <col min="4" max="4" width="40.5703125" style="9"/>
    <col min="5" max="5" width="57.5703125" style="9" customWidth="1"/>
    <col min="6" max="6" width="40.5703125" style="9" customWidth="1"/>
    <col min="7" max="7" width="23.28515625" style="9" customWidth="1"/>
    <col min="8" max="8" width="21.28515625" style="9" customWidth="1"/>
    <col min="9" max="16384" width="40.5703125" style="9"/>
  </cols>
  <sheetData>
    <row r="1" spans="1:8" ht="57" customHeight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</row>
    <row r="2" spans="1:8" ht="57" customHeight="1">
      <c r="A2" s="19" t="s">
        <v>8</v>
      </c>
      <c r="B2" s="20" t="s">
        <v>9</v>
      </c>
      <c r="C2" s="20" t="s">
        <v>10</v>
      </c>
      <c r="D2" s="20" t="s">
        <v>11</v>
      </c>
      <c r="E2" s="20" t="s">
        <v>12</v>
      </c>
      <c r="F2" s="20" t="s">
        <v>13</v>
      </c>
      <c r="G2" s="15" t="s">
        <v>14</v>
      </c>
      <c r="H2" s="15" t="s">
        <v>15</v>
      </c>
    </row>
    <row r="3" spans="1:8" ht="57" customHeight="1">
      <c r="A3" s="19" t="s">
        <v>16</v>
      </c>
      <c r="B3" s="20" t="s">
        <v>17</v>
      </c>
      <c r="C3" s="20" t="s">
        <v>18</v>
      </c>
      <c r="D3" s="20" t="s">
        <v>19</v>
      </c>
      <c r="E3" s="20" t="s">
        <v>20</v>
      </c>
      <c r="F3" s="20" t="s">
        <v>13</v>
      </c>
      <c r="G3" s="15" t="s">
        <v>21</v>
      </c>
      <c r="H3" s="15" t="s">
        <v>22</v>
      </c>
    </row>
    <row r="4" spans="1:8" ht="57" customHeight="1">
      <c r="A4" s="19" t="s">
        <v>23</v>
      </c>
      <c r="B4" s="20" t="s">
        <v>24</v>
      </c>
      <c r="C4" s="20" t="s">
        <v>25</v>
      </c>
      <c r="D4" s="20" t="s">
        <v>26</v>
      </c>
      <c r="E4" s="20" t="s">
        <v>27</v>
      </c>
      <c r="F4" s="20" t="s">
        <v>13</v>
      </c>
      <c r="G4" s="15" t="s">
        <v>14</v>
      </c>
      <c r="H4" s="15" t="s">
        <v>22</v>
      </c>
    </row>
    <row r="5" spans="1:8" ht="57" customHeight="1">
      <c r="A5" s="19" t="s">
        <v>28</v>
      </c>
      <c r="B5" s="20" t="s">
        <v>29</v>
      </c>
      <c r="C5" s="20" t="s">
        <v>18</v>
      </c>
      <c r="D5" s="20" t="s">
        <v>30</v>
      </c>
      <c r="E5" s="20" t="s">
        <v>31</v>
      </c>
      <c r="F5" s="20" t="s">
        <v>13</v>
      </c>
      <c r="G5" s="15" t="s">
        <v>14</v>
      </c>
      <c r="H5" s="15" t="s">
        <v>22</v>
      </c>
    </row>
    <row r="6" spans="1:8" ht="57" customHeight="1">
      <c r="A6" s="19" t="s">
        <v>32</v>
      </c>
      <c r="B6" s="20" t="s">
        <v>33</v>
      </c>
      <c r="C6" s="20" t="s">
        <v>34</v>
      </c>
      <c r="D6" s="20" t="s">
        <v>35</v>
      </c>
      <c r="E6" s="20" t="s">
        <v>36</v>
      </c>
      <c r="F6" s="20" t="s">
        <v>13</v>
      </c>
      <c r="G6" s="15" t="s">
        <v>14</v>
      </c>
      <c r="H6" s="15" t="s">
        <v>22</v>
      </c>
    </row>
    <row r="7" spans="1:8" ht="57" customHeight="1">
      <c r="A7" s="19" t="s">
        <v>37</v>
      </c>
      <c r="B7" s="20" t="s">
        <v>38</v>
      </c>
      <c r="C7" s="20" t="s">
        <v>18</v>
      </c>
      <c r="D7" s="20" t="s">
        <v>39</v>
      </c>
      <c r="E7" s="20" t="s">
        <v>40</v>
      </c>
      <c r="F7" s="20" t="s">
        <v>13</v>
      </c>
      <c r="G7" s="15" t="s">
        <v>21</v>
      </c>
      <c r="H7" s="15" t="s">
        <v>22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B2:I38"/>
  <sheetViews>
    <sheetView tabSelected="1" zoomScale="71" zoomScaleNormal="71" workbookViewId="0">
      <selection activeCell="J34" sqref="J34"/>
    </sheetView>
  </sheetViews>
  <sheetFormatPr defaultColWidth="50.42578125" defaultRowHeight="25.9" customHeight="1"/>
  <cols>
    <col min="1" max="1" width="4.140625" style="9" customWidth="1"/>
    <col min="2" max="2" width="11.85546875" style="9" customWidth="1"/>
    <col min="3" max="3" width="17.140625" style="9" customWidth="1"/>
    <col min="4" max="4" width="23.28515625" style="9" customWidth="1"/>
    <col min="5" max="5" width="34.7109375" style="9" customWidth="1"/>
    <col min="6" max="6" width="31.28515625" style="9" customWidth="1"/>
    <col min="7" max="7" width="31.140625" style="9" customWidth="1"/>
    <col min="8" max="8" width="13" style="9" customWidth="1"/>
    <col min="9" max="9" width="15.140625" style="9" customWidth="1"/>
    <col min="10" max="16384" width="50.42578125" style="9"/>
  </cols>
  <sheetData>
    <row r="2" spans="2:9" ht="25.9" customHeight="1">
      <c r="B2" s="12" t="str">
        <f>Backlog!A1</f>
        <v>REQUISITO</v>
      </c>
      <c r="C2" s="12" t="str">
        <f>Backlog!B1</f>
        <v>TEMA</v>
      </c>
      <c r="D2" s="12" t="str">
        <f>Backlog!C1</f>
        <v>COMO UN…</v>
      </c>
      <c r="E2" s="12" t="str">
        <f>Backlog!D1</f>
        <v>NECESITO</v>
      </c>
      <c r="F2" s="12" t="str">
        <f>Backlog!E1</f>
        <v>ASÍ PODRÉ…</v>
      </c>
      <c r="G2" s="12" t="str">
        <f>Backlog!F1</f>
        <v>NOTAS</v>
      </c>
      <c r="H2" s="12" t="str">
        <f>Backlog!G1</f>
        <v>PRIORIDAD</v>
      </c>
      <c r="I2" s="12" t="str">
        <f>Backlog!H1</f>
        <v>ESTATUS</v>
      </c>
    </row>
    <row r="4" spans="2:9" ht="35.450000000000003" customHeight="1">
      <c r="B4" s="21" t="str">
        <f>Backlog!A2</f>
        <v>REQ001</v>
      </c>
      <c r="C4" s="13" t="str">
        <f>Backlog!B2</f>
        <v>Autenticación de usuario</v>
      </c>
      <c r="D4" s="13" t="str">
        <f>Backlog!C2</f>
        <v>Administrador y Cliente</v>
      </c>
      <c r="E4" s="13" t="str">
        <f>Backlog!D2</f>
        <v>El programa debe tener una función para registrar y guardar datos de los clientes y administradores.</v>
      </c>
      <c r="F4" s="13" t="str">
        <f>Backlog!E2</f>
        <v>Autenticar los datos del administrador/cliente  para iniciar sesión o registrar.</v>
      </c>
      <c r="G4" s="13" t="str">
        <f>Backlog!F2</f>
        <v>NA</v>
      </c>
      <c r="H4" s="21" t="str">
        <f>Backlog!G2</f>
        <v>Alta</v>
      </c>
      <c r="I4" s="13" t="s">
        <v>41</v>
      </c>
    </row>
    <row r="5" spans="2:9" ht="25.9" customHeight="1">
      <c r="B5" s="22"/>
      <c r="C5" s="24" t="s">
        <v>42</v>
      </c>
      <c r="D5" s="25"/>
      <c r="E5" s="25"/>
      <c r="F5" s="26"/>
      <c r="G5" s="12" t="s">
        <v>43</v>
      </c>
      <c r="H5" s="23"/>
      <c r="I5" s="12" t="s">
        <v>44</v>
      </c>
    </row>
    <row r="6" spans="2:9" ht="25.9" customHeight="1">
      <c r="B6" s="15" t="s">
        <v>45</v>
      </c>
      <c r="C6" s="33" t="s">
        <v>46</v>
      </c>
      <c r="D6" s="34"/>
      <c r="E6" s="34"/>
      <c r="F6" s="35"/>
      <c r="G6" s="30" t="s">
        <v>47</v>
      </c>
      <c r="H6" s="23"/>
      <c r="I6" s="14">
        <v>1</v>
      </c>
    </row>
    <row r="7" spans="2:9" ht="25.9" customHeight="1">
      <c r="B7" s="15" t="s">
        <v>48</v>
      </c>
      <c r="C7" s="36" t="s">
        <v>49</v>
      </c>
      <c r="D7" s="37"/>
      <c r="E7" s="37"/>
      <c r="F7" s="38"/>
      <c r="G7" s="31"/>
      <c r="H7" s="23"/>
      <c r="I7" s="14">
        <v>2</v>
      </c>
    </row>
    <row r="8" spans="2:9" ht="25.9" customHeight="1">
      <c r="B8" s="15" t="s">
        <v>50</v>
      </c>
      <c r="C8" s="33" t="s">
        <v>51</v>
      </c>
      <c r="D8" s="34"/>
      <c r="E8" s="34"/>
      <c r="F8" s="35"/>
      <c r="G8" s="31"/>
      <c r="H8" s="23"/>
      <c r="I8" s="14">
        <v>4</v>
      </c>
    </row>
    <row r="9" spans="2:9" ht="25.9" customHeight="1">
      <c r="B9" s="15" t="s">
        <v>52</v>
      </c>
      <c r="C9" s="33" t="s">
        <v>53</v>
      </c>
      <c r="D9" s="34"/>
      <c r="E9" s="34"/>
      <c r="F9" s="35"/>
      <c r="G9" s="31"/>
      <c r="H9" s="23"/>
      <c r="I9" s="14">
        <v>4</v>
      </c>
    </row>
    <row r="10" spans="2:9" ht="25.9" customHeight="1">
      <c r="B10" s="15" t="s">
        <v>54</v>
      </c>
      <c r="C10" s="33" t="s">
        <v>55</v>
      </c>
      <c r="D10" s="34"/>
      <c r="E10" s="34"/>
      <c r="F10" s="35"/>
      <c r="G10" s="32"/>
      <c r="H10" s="22"/>
      <c r="I10" s="14">
        <v>3</v>
      </c>
    </row>
    <row r="11" spans="2:9" ht="25.9" customHeight="1">
      <c r="B11" s="8"/>
      <c r="C11" s="8"/>
      <c r="D11" s="8"/>
      <c r="E11" s="8"/>
      <c r="F11" s="8"/>
      <c r="G11" s="8"/>
      <c r="H11" s="8"/>
      <c r="I11" s="8"/>
    </row>
    <row r="12" spans="2:9" ht="31.9" customHeight="1">
      <c r="B12" s="21" t="str">
        <f>Backlog!A3</f>
        <v>REQ002</v>
      </c>
      <c r="C12" s="13" t="str">
        <f>Backlog!B3</f>
        <v>Administración de usuarios</v>
      </c>
      <c r="D12" s="13" t="str">
        <f>Backlog!C3</f>
        <v>Administrador</v>
      </c>
      <c r="E12" s="13" t="str">
        <f>Backlog!D3</f>
        <v>El programa debe permitir al administrador eliminar y editar datos de clientes.</v>
      </c>
      <c r="F12" s="13" t="str">
        <f>Backlog!E3</f>
        <v>Organizar los datos de los clientes o eliminarlos en caso de inactividad.</v>
      </c>
      <c r="G12" s="13" t="str">
        <f>Backlog!F3</f>
        <v>NA</v>
      </c>
      <c r="H12" s="21" t="str">
        <f>Backlog!G3</f>
        <v>Media</v>
      </c>
      <c r="I12" s="13" t="str">
        <f>Backlog!H3</f>
        <v>En proceso</v>
      </c>
    </row>
    <row r="13" spans="2:9" ht="25.9" customHeight="1">
      <c r="B13" s="22"/>
      <c r="C13" s="24" t="s">
        <v>42</v>
      </c>
      <c r="D13" s="25"/>
      <c r="E13" s="25"/>
      <c r="F13" s="26"/>
      <c r="G13" s="12" t="s">
        <v>43</v>
      </c>
      <c r="H13" s="23"/>
      <c r="I13" s="16" t="s">
        <v>44</v>
      </c>
    </row>
    <row r="14" spans="2:9" ht="25.9" customHeight="1">
      <c r="B14" s="16" t="s">
        <v>56</v>
      </c>
      <c r="C14" s="36" t="s">
        <v>57</v>
      </c>
      <c r="D14" s="37"/>
      <c r="E14" s="37"/>
      <c r="F14" s="38"/>
      <c r="G14" s="14" t="s">
        <v>47</v>
      </c>
      <c r="H14" s="23"/>
      <c r="I14" s="15">
        <v>4</v>
      </c>
    </row>
    <row r="15" spans="2:9" ht="25.9" customHeight="1">
      <c r="B15" s="10"/>
      <c r="C15" s="10"/>
      <c r="G15" s="10"/>
      <c r="I15" s="11"/>
    </row>
    <row r="16" spans="2:9" ht="48" customHeight="1">
      <c r="B16" s="21" t="str">
        <f>Backlog!A4</f>
        <v>REQ003</v>
      </c>
      <c r="C16" s="13" t="str">
        <f>Backlog!B4</f>
        <v>Gestionar trenes</v>
      </c>
      <c r="D16" s="13" t="str">
        <f>Backlog!C4</f>
        <v>Adminstrador</v>
      </c>
      <c r="E16" s="13" t="str">
        <f>Backlog!D4</f>
        <v>El programa debe permitir al administrador crear, modificar o eliminar rutas planificadas de los trenes.</v>
      </c>
      <c r="F16" s="13" t="str">
        <f>Backlog!E4</f>
        <v>Administrar los próximos movimientos de los trenes y cambiarlo en caso de eventualidades.</v>
      </c>
      <c r="G16" s="13" t="str">
        <f>Backlog!F4</f>
        <v>NA</v>
      </c>
      <c r="H16" s="21" t="str">
        <f>Backlog!G4</f>
        <v>Alta</v>
      </c>
      <c r="I16" s="13" t="s">
        <v>58</v>
      </c>
    </row>
    <row r="17" spans="2:9" ht="25.9" customHeight="1">
      <c r="B17" s="22"/>
      <c r="C17" s="24" t="s">
        <v>42</v>
      </c>
      <c r="D17" s="25"/>
      <c r="E17" s="25"/>
      <c r="F17" s="26"/>
      <c r="G17" s="12" t="s">
        <v>43</v>
      </c>
      <c r="H17" s="23"/>
      <c r="I17" s="16" t="s">
        <v>44</v>
      </c>
    </row>
    <row r="18" spans="2:9" ht="25.9" customHeight="1">
      <c r="B18" s="14" t="s">
        <v>59</v>
      </c>
      <c r="C18" s="27" t="s">
        <v>60</v>
      </c>
      <c r="D18" s="28"/>
      <c r="E18" s="28"/>
      <c r="F18" s="29"/>
      <c r="G18" s="30" t="s">
        <v>61</v>
      </c>
      <c r="H18" s="23"/>
      <c r="I18" s="17">
        <v>2</v>
      </c>
    </row>
    <row r="19" spans="2:9" ht="25.9" customHeight="1">
      <c r="B19" s="14" t="s">
        <v>62</v>
      </c>
      <c r="C19" s="27" t="s">
        <v>63</v>
      </c>
      <c r="D19" s="28"/>
      <c r="E19" s="28"/>
      <c r="F19" s="29"/>
      <c r="G19" s="31"/>
      <c r="H19" s="23"/>
      <c r="I19" s="17">
        <v>4</v>
      </c>
    </row>
    <row r="20" spans="2:9" ht="25.9" customHeight="1">
      <c r="B20" s="14" t="s">
        <v>64</v>
      </c>
      <c r="C20" s="27" t="s">
        <v>65</v>
      </c>
      <c r="D20" s="28"/>
      <c r="E20" s="28"/>
      <c r="F20" s="29"/>
      <c r="G20" s="31"/>
      <c r="H20" s="23"/>
      <c r="I20" s="17">
        <v>4</v>
      </c>
    </row>
    <row r="22" spans="2:9" ht="49.15" customHeight="1">
      <c r="B22" s="21" t="str">
        <f>Backlog!A5</f>
        <v>REQ004</v>
      </c>
      <c r="C22" s="13" t="str">
        <f>Backlog!B5</f>
        <v>Gestionar horarios</v>
      </c>
      <c r="D22" s="13" t="str">
        <f>Backlog!C5</f>
        <v>Administrador</v>
      </c>
      <c r="E22" s="13" t="str">
        <f>Backlog!D5</f>
        <v>El programa debe permitir que el administrador organice los horarios de los trenes.</v>
      </c>
      <c r="F22" s="13" t="str">
        <f>Backlog!E5</f>
        <v>Organizar los horarios de los trenes, permitiendo editar o eliminar un viaje en caso de retrasos o problemas de los trenes</v>
      </c>
      <c r="G22" s="13" t="str">
        <f>Backlog!F5</f>
        <v>NA</v>
      </c>
      <c r="H22" s="21" t="str">
        <f>Backlog!G5</f>
        <v>Alta</v>
      </c>
      <c r="I22" s="13" t="str">
        <f>Backlog!H5</f>
        <v>En proceso</v>
      </c>
    </row>
    <row r="23" spans="2:9" ht="25.9" customHeight="1">
      <c r="B23" s="22"/>
      <c r="C23" s="24" t="s">
        <v>42</v>
      </c>
      <c r="D23" s="25"/>
      <c r="E23" s="25"/>
      <c r="F23" s="26"/>
      <c r="G23" s="12" t="s">
        <v>43</v>
      </c>
      <c r="H23" s="23"/>
      <c r="I23" s="12" t="s">
        <v>44</v>
      </c>
    </row>
    <row r="24" spans="2:9" ht="25.9" customHeight="1">
      <c r="B24" s="14" t="s">
        <v>66</v>
      </c>
      <c r="C24" s="27" t="s">
        <v>67</v>
      </c>
      <c r="D24" s="28"/>
      <c r="E24" s="28"/>
      <c r="F24" s="29"/>
      <c r="G24" s="30" t="s">
        <v>68</v>
      </c>
      <c r="H24" s="23"/>
      <c r="I24" s="14">
        <v>3</v>
      </c>
    </row>
    <row r="25" spans="2:9" ht="25.9" customHeight="1">
      <c r="B25" s="14" t="s">
        <v>69</v>
      </c>
      <c r="C25" s="27" t="s">
        <v>70</v>
      </c>
      <c r="D25" s="28"/>
      <c r="E25" s="28"/>
      <c r="F25" s="29"/>
      <c r="G25" s="31"/>
      <c r="H25" s="23"/>
      <c r="I25" s="14">
        <v>2</v>
      </c>
    </row>
    <row r="26" spans="2:9" ht="25.9" customHeight="1">
      <c r="B26" s="14" t="s">
        <v>71</v>
      </c>
      <c r="C26" s="27" t="s">
        <v>65</v>
      </c>
      <c r="D26" s="28"/>
      <c r="E26" s="28"/>
      <c r="F26" s="29"/>
      <c r="G26" s="32"/>
      <c r="H26" s="22"/>
      <c r="I26" s="14">
        <v>3</v>
      </c>
    </row>
    <row r="27" spans="2:9" ht="22.15" customHeight="1"/>
    <row r="28" spans="2:9" ht="22.15" customHeight="1">
      <c r="B28" s="21" t="str">
        <f>Backlog!A6</f>
        <v>REQ005</v>
      </c>
      <c r="C28" s="13" t="str">
        <f>Backlog!B6</f>
        <v>Gestionar reservas</v>
      </c>
      <c r="D28" s="13" t="str">
        <f>Backlog!C6</f>
        <v>Cliente</v>
      </c>
      <c r="E28" s="13" t="str">
        <f>Backlog!D6</f>
        <v>El programa debe permitir que el cliente pueda hacer reservas de boletos, consultar su estado y cancelarlo de ser necesrio.</v>
      </c>
      <c r="F28" s="13" t="str">
        <f>Backlog!E6</f>
        <v>Ver los horarios de trenes mas convenientes, consultar su estado y cancelarlo con su respectiva anticipación.</v>
      </c>
      <c r="G28" s="13" t="str">
        <f>Backlog!F6</f>
        <v>NA</v>
      </c>
      <c r="H28" s="21" t="str">
        <f>Backlog!G6</f>
        <v>Alta</v>
      </c>
      <c r="I28" s="13" t="s">
        <v>58</v>
      </c>
    </row>
    <row r="29" spans="2:9" ht="22.15" customHeight="1">
      <c r="B29" s="22"/>
      <c r="C29" s="24" t="s">
        <v>42</v>
      </c>
      <c r="D29" s="25"/>
      <c r="E29" s="25"/>
      <c r="F29" s="26"/>
      <c r="G29" s="12" t="s">
        <v>43</v>
      </c>
      <c r="H29" s="23"/>
      <c r="I29" s="12" t="s">
        <v>44</v>
      </c>
    </row>
    <row r="30" spans="2:9" ht="25.9" customHeight="1">
      <c r="B30" s="14" t="s">
        <v>72</v>
      </c>
      <c r="C30" s="27" t="s">
        <v>73</v>
      </c>
      <c r="D30" s="28"/>
      <c r="E30" s="28"/>
      <c r="F30" s="29"/>
      <c r="G30" s="30" t="s">
        <v>68</v>
      </c>
      <c r="H30" s="23"/>
      <c r="I30" s="14">
        <v>3</v>
      </c>
    </row>
    <row r="31" spans="2:9" ht="25.9" customHeight="1">
      <c r="B31" s="14" t="s">
        <v>74</v>
      </c>
      <c r="C31" s="33" t="s">
        <v>75</v>
      </c>
      <c r="D31" s="34"/>
      <c r="E31" s="34"/>
      <c r="F31" s="35"/>
      <c r="G31" s="31"/>
      <c r="H31" s="23"/>
      <c r="I31" s="14">
        <v>2</v>
      </c>
    </row>
    <row r="32" spans="2:9" ht="25.9" customHeight="1">
      <c r="B32" s="14" t="s">
        <v>76</v>
      </c>
      <c r="C32" s="27" t="s">
        <v>65</v>
      </c>
      <c r="D32" s="28"/>
      <c r="E32" s="28"/>
      <c r="F32" s="29"/>
      <c r="G32" s="32"/>
      <c r="H32" s="22"/>
      <c r="I32" s="14">
        <v>3</v>
      </c>
    </row>
    <row r="34" spans="2:9" ht="25.9" customHeight="1">
      <c r="B34" s="21" t="str">
        <f>Backlog!A7</f>
        <v>REQ006</v>
      </c>
      <c r="C34" s="13" t="str">
        <f>Backlog!B7</f>
        <v>Gestionar reportes</v>
      </c>
      <c r="D34" s="13" t="str">
        <f>Backlog!C7</f>
        <v>Administrador</v>
      </c>
      <c r="E34" s="13" t="str">
        <f>Backlog!D7</f>
        <v>El programa debe permitir que el administrador pueda generar los reportes del sistemade forma general o por reportes filtrados.</v>
      </c>
      <c r="F34" s="13" t="str">
        <f>Backlog!E7</f>
        <v xml:space="preserve">Ver los reportes del sistema, para una mejor información del movimiento de los trenes. </v>
      </c>
      <c r="G34" s="13" t="str">
        <f>Backlog!F7</f>
        <v>NA</v>
      </c>
      <c r="H34" s="21" t="str">
        <f>Backlog!G7</f>
        <v>Media</v>
      </c>
      <c r="I34" s="13" t="s">
        <v>58</v>
      </c>
    </row>
    <row r="35" spans="2:9" ht="25.9" customHeight="1">
      <c r="B35" s="22"/>
      <c r="C35" s="24" t="s">
        <v>42</v>
      </c>
      <c r="D35" s="25"/>
      <c r="E35" s="25"/>
      <c r="F35" s="26"/>
      <c r="G35" s="12" t="s">
        <v>43</v>
      </c>
      <c r="H35" s="23"/>
      <c r="I35" s="12" t="s">
        <v>44</v>
      </c>
    </row>
    <row r="36" spans="2:9" ht="25.9" customHeight="1">
      <c r="B36" s="14" t="s">
        <v>77</v>
      </c>
      <c r="C36" s="27" t="s">
        <v>78</v>
      </c>
      <c r="D36" s="28"/>
      <c r="E36" s="28"/>
      <c r="F36" s="29"/>
      <c r="G36" s="30" t="s">
        <v>79</v>
      </c>
      <c r="H36" s="23"/>
      <c r="I36" s="14">
        <v>2</v>
      </c>
    </row>
    <row r="37" spans="2:9" ht="25.9" customHeight="1">
      <c r="B37" s="14" t="s">
        <v>80</v>
      </c>
      <c r="C37" s="33" t="s">
        <v>81</v>
      </c>
      <c r="D37" s="34"/>
      <c r="E37" s="34"/>
      <c r="F37" s="35"/>
      <c r="G37" s="31"/>
      <c r="H37" s="23"/>
      <c r="I37" s="14">
        <v>2</v>
      </c>
    </row>
    <row r="38" spans="2:9" ht="25.9" customHeight="1">
      <c r="B38" s="14" t="s">
        <v>82</v>
      </c>
      <c r="C38" s="27" t="s">
        <v>65</v>
      </c>
      <c r="D38" s="28"/>
      <c r="E38" s="28"/>
      <c r="F38" s="29"/>
      <c r="G38" s="32"/>
      <c r="H38" s="22"/>
      <c r="I38" s="14">
        <v>2</v>
      </c>
    </row>
  </sheetData>
  <mergeCells count="41">
    <mergeCell ref="G24:G26"/>
    <mergeCell ref="H4:H10"/>
    <mergeCell ref="H16:H20"/>
    <mergeCell ref="H22:H26"/>
    <mergeCell ref="C6:F6"/>
    <mergeCell ref="C7:F7"/>
    <mergeCell ref="C9:F9"/>
    <mergeCell ref="C5:F5"/>
    <mergeCell ref="C13:F13"/>
    <mergeCell ref="H12:H14"/>
    <mergeCell ref="C26:F26"/>
    <mergeCell ref="C25:F25"/>
    <mergeCell ref="C24:F24"/>
    <mergeCell ref="C23:F23"/>
    <mergeCell ref="C18:F18"/>
    <mergeCell ref="B4:B5"/>
    <mergeCell ref="B12:B13"/>
    <mergeCell ref="B16:B17"/>
    <mergeCell ref="B22:B23"/>
    <mergeCell ref="G6:G10"/>
    <mergeCell ref="G18:G20"/>
    <mergeCell ref="C19:F19"/>
    <mergeCell ref="C17:F17"/>
    <mergeCell ref="C14:F14"/>
    <mergeCell ref="C8:F8"/>
    <mergeCell ref="C10:F10"/>
    <mergeCell ref="C20:F20"/>
    <mergeCell ref="B28:B29"/>
    <mergeCell ref="H28:H32"/>
    <mergeCell ref="C29:F29"/>
    <mergeCell ref="C30:F30"/>
    <mergeCell ref="G30:G32"/>
    <mergeCell ref="C31:F31"/>
    <mergeCell ref="C32:F32"/>
    <mergeCell ref="B34:B35"/>
    <mergeCell ref="H34:H38"/>
    <mergeCell ref="C35:F35"/>
    <mergeCell ref="C36:F36"/>
    <mergeCell ref="G36:G38"/>
    <mergeCell ref="C37:F37"/>
    <mergeCell ref="C38:F38"/>
  </mergeCells>
  <phoneticPr fontId="6" type="noConversion"/>
  <pageMargins left="0.25" right="0.25" top="0.75" bottom="0.75" header="0.3" footer="0.3"/>
  <pageSetup paperSize="9" scale="7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1000"/>
  <sheetViews>
    <sheetView zoomScale="73" workbookViewId="0">
      <selection activeCell="B22" sqref="B22"/>
    </sheetView>
  </sheetViews>
  <sheetFormatPr defaultColWidth="12.5703125" defaultRowHeight="15" customHeight="1"/>
  <cols>
    <col min="1" max="1" width="12.42578125" customWidth="1"/>
    <col min="2" max="2" width="24.5703125" customWidth="1"/>
    <col min="3" max="26" width="12.42578125" customWidth="1"/>
  </cols>
  <sheetData>
    <row r="1" spans="1:9" ht="15.75" customHeight="1"/>
    <row r="2" spans="1:9" ht="15.75" customHeight="1"/>
    <row r="3" spans="1:9" ht="15.75" customHeight="1">
      <c r="B3" s="2"/>
      <c r="C3" s="2" t="s">
        <v>44</v>
      </c>
      <c r="D3" s="2" t="s">
        <v>83</v>
      </c>
      <c r="E3" s="2" t="s">
        <v>84</v>
      </c>
      <c r="F3" s="2" t="s">
        <v>85</v>
      </c>
      <c r="G3" s="2" t="s">
        <v>86</v>
      </c>
      <c r="H3" s="2" t="s">
        <v>87</v>
      </c>
      <c r="I3" s="2" t="s">
        <v>88</v>
      </c>
    </row>
    <row r="4" spans="1:9" ht="15.75" customHeight="1">
      <c r="B4" s="1" t="s">
        <v>45</v>
      </c>
      <c r="C4" s="4">
        <v>3</v>
      </c>
      <c r="D4" s="3">
        <v>0</v>
      </c>
      <c r="E4" s="3">
        <v>0</v>
      </c>
      <c r="F4" s="3">
        <v>0</v>
      </c>
      <c r="G4" s="3">
        <v>1</v>
      </c>
      <c r="H4" s="3">
        <v>2</v>
      </c>
      <c r="I4" s="5">
        <f>SUM(D4:H4)</f>
        <v>3</v>
      </c>
    </row>
    <row r="5" spans="1:9" ht="15.75" customHeight="1">
      <c r="B5" s="1" t="s">
        <v>48</v>
      </c>
      <c r="C5" s="4">
        <v>2</v>
      </c>
      <c r="D5" s="3">
        <v>0</v>
      </c>
      <c r="E5" s="3">
        <v>0</v>
      </c>
      <c r="F5" s="3">
        <v>0</v>
      </c>
      <c r="G5" s="3">
        <v>1</v>
      </c>
      <c r="H5" s="3">
        <v>1</v>
      </c>
      <c r="I5" s="5">
        <f t="shared" ref="I5:I10" si="0">SUM(D5:H5)</f>
        <v>2</v>
      </c>
    </row>
    <row r="6" spans="1:9" ht="15.75" customHeight="1">
      <c r="A6" s="2"/>
      <c r="B6" s="1" t="s">
        <v>50</v>
      </c>
      <c r="C6" s="4">
        <v>2</v>
      </c>
      <c r="D6" s="3">
        <v>0</v>
      </c>
      <c r="E6" s="3">
        <v>0</v>
      </c>
      <c r="F6" s="3">
        <v>0</v>
      </c>
      <c r="G6" s="3">
        <v>1</v>
      </c>
      <c r="H6" s="3">
        <v>1</v>
      </c>
      <c r="I6" s="5">
        <f t="shared" si="0"/>
        <v>2</v>
      </c>
    </row>
    <row r="7" spans="1:9" ht="15.75" customHeight="1">
      <c r="A7" s="2"/>
      <c r="B7" s="1" t="s">
        <v>56</v>
      </c>
      <c r="C7" s="4">
        <v>3</v>
      </c>
      <c r="D7" s="3">
        <v>0</v>
      </c>
      <c r="E7" s="3">
        <v>0</v>
      </c>
      <c r="F7" s="3">
        <v>1</v>
      </c>
      <c r="G7" s="3">
        <v>1</v>
      </c>
      <c r="H7" s="3">
        <v>1</v>
      </c>
      <c r="I7" s="5">
        <f t="shared" si="0"/>
        <v>3</v>
      </c>
    </row>
    <row r="8" spans="1:9" ht="15.75" customHeight="1">
      <c r="B8" s="1" t="s">
        <v>89</v>
      </c>
      <c r="C8" s="4">
        <v>2</v>
      </c>
      <c r="D8" s="3">
        <v>0</v>
      </c>
      <c r="E8" s="3">
        <v>0</v>
      </c>
      <c r="F8" s="3">
        <v>2</v>
      </c>
      <c r="G8" s="3">
        <v>0</v>
      </c>
      <c r="H8" s="3">
        <v>0</v>
      </c>
      <c r="I8" s="5">
        <f t="shared" si="0"/>
        <v>2</v>
      </c>
    </row>
    <row r="9" spans="1:9" ht="15.75" customHeight="1">
      <c r="B9" s="1" t="s">
        <v>90</v>
      </c>
      <c r="C9" s="4">
        <v>2</v>
      </c>
      <c r="D9" s="3">
        <v>0</v>
      </c>
      <c r="E9" s="3">
        <v>1</v>
      </c>
      <c r="F9" s="3">
        <v>1</v>
      </c>
      <c r="G9" s="3">
        <v>0</v>
      </c>
      <c r="H9" s="3">
        <v>0</v>
      </c>
      <c r="I9" s="5">
        <f t="shared" si="0"/>
        <v>2</v>
      </c>
    </row>
    <row r="10" spans="1:9" ht="15.75" customHeight="1">
      <c r="B10" s="1" t="s">
        <v>59</v>
      </c>
      <c r="C10" s="4">
        <v>3</v>
      </c>
      <c r="D10" s="3">
        <v>0</v>
      </c>
      <c r="E10" s="3">
        <v>2</v>
      </c>
      <c r="F10" s="3">
        <v>1</v>
      </c>
      <c r="G10" s="3">
        <v>0</v>
      </c>
      <c r="H10" s="3">
        <v>0</v>
      </c>
      <c r="I10" s="5">
        <f t="shared" si="0"/>
        <v>3</v>
      </c>
    </row>
    <row r="11" spans="1:9" ht="15.75" customHeight="1">
      <c r="B11" s="1" t="s">
        <v>62</v>
      </c>
      <c r="C11" s="4">
        <v>2</v>
      </c>
      <c r="D11" s="3">
        <v>0</v>
      </c>
      <c r="E11" s="3">
        <v>1</v>
      </c>
      <c r="F11" s="3">
        <v>1</v>
      </c>
      <c r="G11" s="3">
        <v>0</v>
      </c>
      <c r="H11" s="3">
        <v>0</v>
      </c>
      <c r="I11" s="5">
        <f>SUM(D11:H11)</f>
        <v>2</v>
      </c>
    </row>
    <row r="12" spans="1:9" ht="15.6" customHeight="1">
      <c r="B12" s="1" t="s">
        <v>64</v>
      </c>
      <c r="C12" s="4">
        <v>2</v>
      </c>
      <c r="D12" s="3">
        <v>1</v>
      </c>
      <c r="E12" s="3">
        <v>1</v>
      </c>
      <c r="F12" s="3">
        <v>0</v>
      </c>
      <c r="G12" s="3">
        <v>0</v>
      </c>
      <c r="H12" s="3">
        <v>0</v>
      </c>
      <c r="I12" s="5">
        <f>SUM(D12:H12)</f>
        <v>2</v>
      </c>
    </row>
    <row r="13" spans="1:9" ht="15.75" customHeight="1">
      <c r="B13" s="1" t="s">
        <v>66</v>
      </c>
      <c r="C13" s="4">
        <v>3</v>
      </c>
      <c r="D13" s="3">
        <v>1</v>
      </c>
      <c r="E13" s="3">
        <v>2</v>
      </c>
      <c r="F13" s="3">
        <v>0</v>
      </c>
      <c r="G13" s="3">
        <v>0</v>
      </c>
      <c r="H13" s="3">
        <v>0</v>
      </c>
      <c r="I13" s="5">
        <f>SUM(D13:H13)</f>
        <v>3</v>
      </c>
    </row>
    <row r="14" spans="1:9" ht="15.75" customHeight="1">
      <c r="B14" s="1" t="s">
        <v>69</v>
      </c>
      <c r="C14" s="4">
        <v>1</v>
      </c>
      <c r="D14" s="3">
        <v>1</v>
      </c>
      <c r="E14" s="3">
        <v>0</v>
      </c>
      <c r="F14" s="3">
        <v>0</v>
      </c>
      <c r="G14" s="3">
        <v>0</v>
      </c>
      <c r="H14" s="3">
        <v>0</v>
      </c>
      <c r="I14" s="5">
        <f>SUM(D14:H14)</f>
        <v>1</v>
      </c>
    </row>
    <row r="15" spans="1:9" ht="15.75" customHeight="1">
      <c r="B15" s="1" t="s">
        <v>71</v>
      </c>
      <c r="C15" s="4">
        <v>3</v>
      </c>
      <c r="D15" s="3">
        <v>1</v>
      </c>
      <c r="E15" s="3">
        <v>2</v>
      </c>
      <c r="F15" s="3">
        <v>0</v>
      </c>
      <c r="G15" s="3">
        <v>0</v>
      </c>
      <c r="H15" s="3">
        <v>0</v>
      </c>
      <c r="I15" s="5">
        <f t="shared" ref="I15:I18" si="1">SUM(D15:H15)</f>
        <v>3</v>
      </c>
    </row>
    <row r="16" spans="1:9" ht="15.75" hidden="1" customHeight="1">
      <c r="B16" s="1" t="s">
        <v>72</v>
      </c>
      <c r="C16" s="4">
        <v>2</v>
      </c>
      <c r="D16" s="3">
        <v>1</v>
      </c>
      <c r="E16" s="3">
        <v>1</v>
      </c>
      <c r="F16" s="3">
        <v>0</v>
      </c>
      <c r="G16" s="3">
        <v>0</v>
      </c>
      <c r="H16" s="3">
        <v>0</v>
      </c>
      <c r="I16" s="5">
        <f t="shared" si="1"/>
        <v>2</v>
      </c>
    </row>
    <row r="17" spans="2:9" ht="15.75" hidden="1" customHeight="1">
      <c r="B17" s="1" t="s">
        <v>74</v>
      </c>
      <c r="C17" s="4">
        <v>1</v>
      </c>
      <c r="D17" s="3">
        <v>1</v>
      </c>
      <c r="E17" s="3">
        <v>0</v>
      </c>
      <c r="F17" s="3">
        <v>0</v>
      </c>
      <c r="G17" s="3">
        <v>0</v>
      </c>
      <c r="H17" s="3">
        <v>0</v>
      </c>
      <c r="I17" s="5">
        <f t="shared" si="1"/>
        <v>1</v>
      </c>
    </row>
    <row r="18" spans="2:9" ht="15.75" hidden="1" customHeight="1">
      <c r="B18" s="1" t="s">
        <v>76</v>
      </c>
      <c r="C18" s="4">
        <v>3</v>
      </c>
      <c r="D18" s="3">
        <v>2</v>
      </c>
      <c r="E18" s="3">
        <v>1</v>
      </c>
      <c r="F18" s="3">
        <v>0</v>
      </c>
      <c r="G18" s="3">
        <v>0</v>
      </c>
      <c r="H18" s="3">
        <v>0</v>
      </c>
      <c r="I18" s="5">
        <f t="shared" si="1"/>
        <v>3</v>
      </c>
    </row>
    <row r="19" spans="2:9" ht="15.75" customHeight="1">
      <c r="C19" s="7"/>
      <c r="D19" s="3"/>
      <c r="E19" s="3"/>
      <c r="F19" s="3"/>
      <c r="G19" s="3"/>
      <c r="H19" s="3"/>
      <c r="I19" s="7"/>
    </row>
    <row r="20" spans="2:9" ht="15.75" customHeight="1">
      <c r="C20" s="7"/>
      <c r="D20" s="3"/>
      <c r="E20" s="3"/>
      <c r="F20" s="3"/>
      <c r="G20" s="3"/>
      <c r="H20" s="3"/>
      <c r="I20" s="7"/>
    </row>
    <row r="21" spans="2:9" ht="15.75" customHeight="1"/>
    <row r="22" spans="2:9" ht="15.75" customHeight="1"/>
    <row r="23" spans="2:9" ht="15.75" customHeight="1"/>
    <row r="24" spans="2:9" ht="15.75" customHeight="1"/>
    <row r="25" spans="2:9" ht="15.75" customHeight="1">
      <c r="B25" s="6" t="s">
        <v>91</v>
      </c>
      <c r="C25" s="2">
        <f>SUM(C4:C20)</f>
        <v>34</v>
      </c>
      <c r="D25" s="2">
        <f>C25-SUM(D4:D20)</f>
        <v>26</v>
      </c>
      <c r="E25" s="2">
        <f>D25-SUM(E4:E20)</f>
        <v>15</v>
      </c>
      <c r="F25" s="2">
        <f>E25-SUM(F4:F20)</f>
        <v>9</v>
      </c>
      <c r="G25" s="2">
        <f>F25-SUM(G4:G20)</f>
        <v>5</v>
      </c>
      <c r="H25" s="2">
        <f>G25-SUM(H4:H20)</f>
        <v>0</v>
      </c>
    </row>
    <row r="26" spans="2:9" ht="15.75" customHeight="1">
      <c r="B26" s="6" t="s">
        <v>92</v>
      </c>
      <c r="C26" s="2">
        <f>SUM(C4:C20)</f>
        <v>34</v>
      </c>
      <c r="D26" s="2">
        <f>C26-(SUM(C4:C20)/5)</f>
        <v>27.2</v>
      </c>
      <c r="E26" s="2">
        <f>D26-(SUM(C4:C20)/5)</f>
        <v>20.399999999999999</v>
      </c>
      <c r="F26" s="2">
        <f>E26-(SUM(C4:C20)/5)</f>
        <v>13.599999999999998</v>
      </c>
      <c r="G26" s="2">
        <f>F26-(SUM(C4:C20)/5)</f>
        <v>6.799999999999998</v>
      </c>
      <c r="H26" s="2">
        <f>G26-(SUM(C4:C20)/5)</f>
        <v>0</v>
      </c>
    </row>
    <row r="27" spans="2:9" ht="15.75" customHeight="1"/>
    <row r="28" spans="2:9" ht="15.75" customHeight="1"/>
    <row r="29" spans="2:9" ht="15.75" customHeight="1"/>
    <row r="30" spans="2:9" ht="15.75" customHeight="1">
      <c r="B30" s="39"/>
      <c r="C30" s="39"/>
      <c r="D30" s="39"/>
      <c r="E30" s="39"/>
      <c r="F30" s="39"/>
      <c r="G30" s="39"/>
    </row>
    <row r="31" spans="2:9" ht="15.75" customHeight="1">
      <c r="B31" s="39"/>
      <c r="C31" s="39"/>
      <c r="D31" s="39"/>
      <c r="E31" s="39"/>
      <c r="F31" s="39"/>
      <c r="G31" s="39"/>
    </row>
    <row r="32" spans="2:9" ht="15.75" customHeight="1">
      <c r="B32" s="39"/>
      <c r="C32" s="39"/>
      <c r="D32" s="39"/>
      <c r="E32" s="39"/>
      <c r="F32" s="39"/>
      <c r="G32" s="39"/>
    </row>
    <row r="33" spans="2:7" ht="15.75" customHeight="1">
      <c r="B33" s="39"/>
      <c r="C33" s="39"/>
      <c r="D33" s="39"/>
      <c r="E33" s="39"/>
      <c r="F33" s="39"/>
      <c r="G33" s="39"/>
    </row>
    <row r="34" spans="2:7" ht="15.75" customHeight="1">
      <c r="B34" s="39"/>
      <c r="C34" s="39"/>
      <c r="D34" s="39"/>
      <c r="E34" s="39"/>
      <c r="F34" s="39"/>
      <c r="G34" s="39"/>
    </row>
    <row r="35" spans="2:7" ht="15.75" customHeight="1">
      <c r="B35" s="39"/>
      <c r="C35" s="39"/>
      <c r="D35" s="39"/>
      <c r="E35" s="39"/>
      <c r="F35" s="39"/>
      <c r="G35" s="39"/>
    </row>
    <row r="36" spans="2:7" ht="15.75" customHeight="1">
      <c r="B36" s="39"/>
      <c r="C36" s="39"/>
      <c r="D36" s="39"/>
      <c r="E36" s="39"/>
      <c r="F36" s="39"/>
      <c r="G36" s="39"/>
    </row>
    <row r="37" spans="2:7" ht="15.75" customHeight="1">
      <c r="B37" s="39"/>
      <c r="C37" s="39"/>
      <c r="D37" s="39"/>
      <c r="E37" s="39"/>
      <c r="F37" s="39"/>
      <c r="G37" s="39"/>
    </row>
    <row r="38" spans="2:7" ht="15.75" customHeight="1"/>
    <row r="39" spans="2:7" ht="15.75" customHeight="1"/>
    <row r="40" spans="2:7" ht="15.75" customHeight="1"/>
    <row r="41" spans="2:7" ht="15.75" customHeight="1"/>
    <row r="42" spans="2:7" ht="15.75" customHeight="1"/>
    <row r="43" spans="2:7" ht="15.75" customHeight="1"/>
    <row r="44" spans="2:7" ht="15.75" customHeight="1"/>
    <row r="45" spans="2:7" ht="15.75" customHeight="1"/>
    <row r="46" spans="2:7" ht="15.75" customHeight="1"/>
    <row r="47" spans="2:7" ht="15.75" customHeight="1"/>
    <row r="48" spans="2:7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30:G37"/>
  </mergeCells>
  <phoneticPr fontId="6" type="noConversion"/>
  <pageMargins left="0.7" right="0.7" top="0.75" bottom="0.75" header="0" footer="0"/>
  <pageSetup orientation="landscape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BS</dc:creator>
  <cp:keywords/>
  <dc:description/>
  <cp:lastModifiedBy/>
  <cp:revision/>
  <dcterms:created xsi:type="dcterms:W3CDTF">2023-06-05T13:12:31Z</dcterms:created>
  <dcterms:modified xsi:type="dcterms:W3CDTF">2026-05-12T16:52:24Z</dcterms:modified>
  <cp:category/>
  <cp:contentStatus/>
</cp:coreProperties>
</file>